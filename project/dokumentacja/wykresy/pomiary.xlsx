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rkusz2" sheetId="1" state="visible" r:id="rId3"/>
    <sheet name="Arkusz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<sst xmlns="http://schemas.openxmlformats.org/spreadsheetml/2006/main" count="54" uniqueCount="34">
  <si>
    <t xml:space="preserve">THD</t>
  </si>
  <si>
    <t xml:space="preserve">P_out [dBm]</t>
  </si>
  <si>
    <t xml:space="preserve">-5dBm</t>
  </si>
  <si>
    <t xml:space="preserve">0dBm</t>
  </si>
  <si>
    <t xml:space="preserve">f [GHz] \ P_in [dBm]</t>
  </si>
  <si>
    <t xml:space="preserve">-15dBm</t>
  </si>
  <si>
    <t xml:space="preserve">-10dBm</t>
  </si>
  <si>
    <t xml:space="preserve">f [GHz]</t>
  </si>
  <si>
    <t xml:space="preserve">Pout [dBm]</t>
  </si>
  <si>
    <t xml:space="preserve">Pin1</t>
  </si>
  <si>
    <t xml:space="preserve">Pout1</t>
  </si>
  <si>
    <t xml:space="preserve">Gain1</t>
  </si>
  <si>
    <t xml:space="preserve">Pin2</t>
  </si>
  <si>
    <t xml:space="preserve">Pout2</t>
  </si>
  <si>
    <t xml:space="preserve">Gain2</t>
  </si>
  <si>
    <t xml:space="preserve">Intermodulations</t>
  </si>
  <si>
    <t xml:space="preserve">Prążki intermodulacyjne</t>
  </si>
  <si>
    <t xml:space="preserve">Pin [dBm]</t>
  </si>
  <si>
    <t xml:space="preserve">prązęk główny P [dBm]</t>
  </si>
  <si>
    <t xml:space="preserve">int_mod [dBm]</t>
  </si>
  <si>
    <t xml:space="preserve">delta P</t>
  </si>
  <si>
    <t xml:space="preserve">OIP3</t>
  </si>
  <si>
    <t xml:space="preserve">IIP3</t>
  </si>
  <si>
    <t xml:space="preserve">2 schematy</t>
  </si>
  <si>
    <t xml:space="preserve">f1</t>
  </si>
  <si>
    <t xml:space="preserve">2 Ghz</t>
  </si>
  <si>
    <t xml:space="preserve">-15 dBm</t>
  </si>
  <si>
    <t xml:space="preserve">1,9 Ghz</t>
  </si>
  <si>
    <t xml:space="preserve">parametry</t>
  </si>
  <si>
    <t xml:space="preserve">f </t>
  </si>
  <si>
    <t xml:space="preserve">f2</t>
  </si>
  <si>
    <t xml:space="preserve">2,1GHz</t>
  </si>
  <si>
    <t xml:space="preserve">2,2 GHz</t>
  </si>
  <si>
    <t xml:space="preserve">Policzone przez analizator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</si>
</sst>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37" activeCellId="0" sqref="A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58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B2" s="2" t="s">
        <v>1</v>
      </c>
      <c r="C2" s="2"/>
      <c r="D2" s="2"/>
      <c r="E2" s="2"/>
      <c r="G2" s="1" t="s">
        <v>2</v>
      </c>
      <c r="J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2</v>
      </c>
      <c r="E3" s="1" t="s">
        <v>3</v>
      </c>
      <c r="G3" s="1" t="s">
        <v>7</v>
      </c>
      <c r="H3" s="1" t="s">
        <v>8</v>
      </c>
      <c r="J3" s="1" t="s">
        <v>7</v>
      </c>
      <c r="K3" s="1" t="s">
        <v>8</v>
      </c>
    </row>
    <row r="4" customFormat="false" ht="13.8" hidden="false" customHeight="false" outlineLevel="0" collapsed="false">
      <c r="A4" s="1" t="n">
        <v>1</v>
      </c>
      <c r="B4" s="1" t="n">
        <v>-0.3</v>
      </c>
      <c r="C4" s="1" t="n">
        <v>4.7</v>
      </c>
      <c r="D4" s="1" t="n">
        <v>9.7</v>
      </c>
      <c r="E4" s="1" t="n">
        <v>13.6</v>
      </c>
      <c r="G4" s="1" t="n">
        <v>1</v>
      </c>
      <c r="H4" s="1" t="n">
        <v>9.7</v>
      </c>
      <c r="J4" s="1" t="n">
        <v>1</v>
      </c>
      <c r="K4" s="1" t="n">
        <v>13.6</v>
      </c>
    </row>
    <row r="5" customFormat="false" ht="13.8" hidden="false" customHeight="false" outlineLevel="0" collapsed="false">
      <c r="A5" s="1" t="n">
        <v>1.99</v>
      </c>
      <c r="B5" s="1" t="n">
        <v>-41.4</v>
      </c>
      <c r="C5" s="1" t="n">
        <v>-33.5</v>
      </c>
      <c r="D5" s="1" t="n">
        <v>-24.6</v>
      </c>
      <c r="E5" s="1" t="n">
        <v>-14.8</v>
      </c>
      <c r="G5" s="1" t="n">
        <v>1.99</v>
      </c>
      <c r="H5" s="1" t="n">
        <v>-24.6</v>
      </c>
      <c r="J5" s="1" t="n">
        <v>1.99</v>
      </c>
      <c r="K5" s="1" t="n">
        <v>-14.8</v>
      </c>
    </row>
    <row r="6" customFormat="false" ht="13.8" hidden="false" customHeight="false" outlineLevel="0" collapsed="false">
      <c r="A6" s="1" t="n">
        <v>2.99</v>
      </c>
      <c r="C6" s="1" t="n">
        <v>-37.4</v>
      </c>
      <c r="D6" s="1" t="n">
        <v>-25.2</v>
      </c>
      <c r="E6" s="1" t="n">
        <v>-6.5</v>
      </c>
      <c r="G6" s="1" t="n">
        <v>2.99</v>
      </c>
      <c r="H6" s="1" t="n">
        <v>-25.2</v>
      </c>
      <c r="J6" s="1" t="n">
        <v>2.99</v>
      </c>
      <c r="K6" s="1" t="n">
        <v>-6.5</v>
      </c>
    </row>
    <row r="7" customFormat="false" ht="13.8" hidden="false" customHeight="false" outlineLevel="0" collapsed="false">
      <c r="A7" s="1" t="n">
        <v>3.97</v>
      </c>
      <c r="D7" s="1" t="n">
        <v>-49.6</v>
      </c>
      <c r="E7" s="1" t="n">
        <v>-22.1</v>
      </c>
      <c r="G7" s="1" t="n">
        <v>3.97</v>
      </c>
      <c r="H7" s="1" t="n">
        <v>-49.6</v>
      </c>
      <c r="J7" s="1" t="n">
        <v>3.97</v>
      </c>
      <c r="K7" s="1" t="n">
        <v>-22.1</v>
      </c>
    </row>
    <row r="8" customFormat="false" ht="13.8" hidden="false" customHeight="false" outlineLevel="0" collapsed="false">
      <c r="A8" s="1" t="n">
        <v>4.98</v>
      </c>
      <c r="E8" s="1" t="n">
        <v>-31.5</v>
      </c>
      <c r="J8" s="1" t="n">
        <v>4.98</v>
      </c>
      <c r="K8" s="1" t="n">
        <v>-31.5</v>
      </c>
    </row>
    <row r="9" customFormat="false" ht="13.8" hidden="false" customHeight="false" outlineLevel="0" collapsed="false">
      <c r="A9" s="1" t="n">
        <v>5.97</v>
      </c>
      <c r="E9" s="1" t="n">
        <v>-30.8</v>
      </c>
      <c r="J9" s="1" t="n">
        <v>5.97</v>
      </c>
      <c r="K9" s="1" t="n">
        <v>-30.8</v>
      </c>
    </row>
    <row r="12" customFormat="false" ht="12.8" hidden="false" customHeight="false" outlineLevel="0" collapsed="false">
      <c r="B12" s="0" t="n">
        <f aca="false">B4/10</f>
        <v>-0.03</v>
      </c>
      <c r="C12" s="0" t="n">
        <f aca="false">C4/10</f>
        <v>0.47</v>
      </c>
      <c r="D12" s="0" t="n">
        <f aca="false">D4/10</f>
        <v>0.97</v>
      </c>
      <c r="E12" s="0" t="n">
        <f aca="false">E4/10</f>
        <v>1.36</v>
      </c>
    </row>
    <row r="13" customFormat="false" ht="12.8" hidden="false" customHeight="false" outlineLevel="0" collapsed="false">
      <c r="B13" s="0" t="n">
        <f aca="false">B5/10</f>
        <v>-4.14</v>
      </c>
      <c r="C13" s="0" t="n">
        <f aca="false">C5/10</f>
        <v>-3.35</v>
      </c>
      <c r="D13" s="0" t="n">
        <f aca="false">D5/10</f>
        <v>-2.46</v>
      </c>
      <c r="E13" s="0" t="n">
        <f aca="false">E5/10</f>
        <v>-1.48</v>
      </c>
    </row>
    <row r="14" customFormat="false" ht="12.8" hidden="false" customHeight="false" outlineLevel="0" collapsed="false">
      <c r="B14" s="0" t="n">
        <f aca="false">B6/10</f>
        <v>0</v>
      </c>
      <c r="C14" s="0" t="n">
        <f aca="false">C6/10</f>
        <v>-3.74</v>
      </c>
      <c r="D14" s="0" t="n">
        <f aca="false">D6/10</f>
        <v>-2.52</v>
      </c>
      <c r="E14" s="0" t="n">
        <f aca="false">E6/10</f>
        <v>-0.65</v>
      </c>
    </row>
    <row r="15" customFormat="false" ht="12.8" hidden="false" customHeight="false" outlineLevel="0" collapsed="false">
      <c r="B15" s="0" t="n">
        <f aca="false">B7/10</f>
        <v>0</v>
      </c>
      <c r="C15" s="0" t="n">
        <f aca="false">C7/10</f>
        <v>0</v>
      </c>
      <c r="D15" s="0" t="n">
        <f aca="false">D7/10</f>
        <v>-4.96</v>
      </c>
      <c r="E15" s="0" t="n">
        <f aca="false">E7/10</f>
        <v>-2.21</v>
      </c>
    </row>
    <row r="16" customFormat="false" ht="12.8" hidden="false" customHeight="false" outlineLevel="0" collapsed="false">
      <c r="B16" s="0" t="n">
        <f aca="false">B8/10</f>
        <v>0</v>
      </c>
      <c r="C16" s="0" t="n">
        <f aca="false">C8/10</f>
        <v>0</v>
      </c>
      <c r="D16" s="0" t="n">
        <f aca="false">D8/10</f>
        <v>0</v>
      </c>
      <c r="E16" s="0" t="n">
        <f aca="false">E8/10</f>
        <v>-3.15</v>
      </c>
    </row>
    <row r="17" customFormat="false" ht="12.8" hidden="false" customHeight="false" outlineLevel="0" collapsed="false">
      <c r="B17" s="0" t="n">
        <f aca="false">B9/10</f>
        <v>0</v>
      </c>
      <c r="C17" s="0" t="n">
        <f aca="false">C9/10</f>
        <v>0</v>
      </c>
      <c r="D17" s="0" t="n">
        <f aca="false">D9/10</f>
        <v>0</v>
      </c>
      <c r="E17" s="0" t="n">
        <f aca="false">E9/10</f>
        <v>-3.08</v>
      </c>
    </row>
    <row r="19" customFormat="false" ht="12.8" hidden="false" customHeight="false" outlineLevel="0" collapsed="false">
      <c r="B19" s="0" t="n">
        <f aca="false">POWER(10,B12)</f>
        <v>0.933254300796991</v>
      </c>
      <c r="C19" s="0" t="n">
        <f aca="false">POWER(10,C12)</f>
        <v>2.95120922666639</v>
      </c>
      <c r="D19" s="0" t="n">
        <f aca="false">POWER(10,D12)</f>
        <v>9.33254300796991</v>
      </c>
      <c r="E19" s="0" t="n">
        <f aca="false">POWER(10,E12)</f>
        <v>22.9086765276777</v>
      </c>
    </row>
    <row r="20" customFormat="false" ht="12.8" hidden="false" customHeight="false" outlineLevel="0" collapsed="false">
      <c r="B20" s="0" t="n">
        <f aca="false">POWER(10,B13)</f>
        <v>7.24435960074991E-005</v>
      </c>
      <c r="C20" s="0" t="n">
        <f aca="false">POWER(10,C13)</f>
        <v>0.000446683592150963</v>
      </c>
      <c r="D20" s="0" t="n">
        <f aca="false">POWER(10,D13)</f>
        <v>0.00346736850452532</v>
      </c>
      <c r="E20" s="0" t="n">
        <f aca="false">POWER(10,E13)</f>
        <v>0.0331131121482591</v>
      </c>
    </row>
    <row r="21" customFormat="false" ht="12.8" hidden="false" customHeight="false" outlineLevel="0" collapsed="false">
      <c r="B21" s="0" t="n">
        <f aca="false">POWER(10,B14)</f>
        <v>1</v>
      </c>
      <c r="C21" s="0" t="n">
        <f aca="false">POWER(10,C14)</f>
        <v>0.000181970085860998</v>
      </c>
      <c r="D21" s="0" t="n">
        <f aca="false">POWER(10,D14)</f>
        <v>0.00301995172040202</v>
      </c>
      <c r="E21" s="0" t="n">
        <f aca="false">POWER(10,E14)</f>
        <v>0.223872113856834</v>
      </c>
    </row>
    <row r="22" customFormat="false" ht="12.8" hidden="false" customHeight="false" outlineLevel="0" collapsed="false">
      <c r="B22" s="0" t="n">
        <f aca="false">POWER(10,B15)</f>
        <v>1</v>
      </c>
      <c r="C22" s="0" t="n">
        <f aca="false">POWER(10,C15)</f>
        <v>1</v>
      </c>
      <c r="D22" s="0" t="n">
        <f aca="false">POWER(10,D15)</f>
        <v>1.09647819614319E-005</v>
      </c>
      <c r="E22" s="0" t="n">
        <f aca="false">POWER(10,E15)</f>
        <v>0.00616595001861482</v>
      </c>
    </row>
    <row r="23" customFormat="false" ht="12.8" hidden="false" customHeight="false" outlineLevel="0" collapsed="false">
      <c r="B23" s="0" t="n">
        <f aca="false">POWER(10,B16)</f>
        <v>1</v>
      </c>
      <c r="C23" s="0" t="n">
        <f aca="false">POWER(10,C16)</f>
        <v>1</v>
      </c>
      <c r="D23" s="0" t="n">
        <f aca="false">POWER(10,D16)</f>
        <v>1</v>
      </c>
      <c r="E23" s="0" t="n">
        <f aca="false">POWER(10,E16)</f>
        <v>0.000707945784384138</v>
      </c>
    </row>
    <row r="24" customFormat="false" ht="12.8" hidden="false" customHeight="false" outlineLevel="0" collapsed="false">
      <c r="B24" s="0" t="n">
        <f aca="false">POWER(10,B17)</f>
        <v>1</v>
      </c>
      <c r="C24" s="0" t="n">
        <f aca="false">POWER(10,C17)</f>
        <v>1</v>
      </c>
      <c r="D24" s="0" t="n">
        <f aca="false">POWER(10,D17)</f>
        <v>1</v>
      </c>
      <c r="E24" s="0" t="n">
        <f aca="false">POWER(10,E17)</f>
        <v>0.000831763771102671</v>
      </c>
    </row>
    <row r="27" customFormat="false" ht="12.8" hidden="false" customHeight="false" outlineLevel="0" collapsed="false">
      <c r="B27" s="0" t="n">
        <f aca="false">B19/1000</f>
        <v>0.000933254300796991</v>
      </c>
      <c r="C27" s="0" t="n">
        <f aca="false">C19/1000</f>
        <v>0.00295120922666639</v>
      </c>
      <c r="D27" s="0" t="n">
        <f aca="false">D19/1000</f>
        <v>0.00933254300796991</v>
      </c>
      <c r="E27" s="0" t="n">
        <f aca="false">E19/1000</f>
        <v>0.0229086765276777</v>
      </c>
    </row>
    <row r="28" customFormat="false" ht="12.8" hidden="false" customHeight="false" outlineLevel="0" collapsed="false">
      <c r="B28" s="0" t="n">
        <f aca="false">B20/1000</f>
        <v>7.24435960074991E-008</v>
      </c>
      <c r="C28" s="0" t="n">
        <f aca="false">C20/1000</f>
        <v>4.46683592150963E-007</v>
      </c>
      <c r="D28" s="0" t="n">
        <f aca="false">D20/1000</f>
        <v>3.46736850452532E-006</v>
      </c>
      <c r="E28" s="0" t="n">
        <f aca="false">E20/1000</f>
        <v>3.31131121482591E-005</v>
      </c>
    </row>
    <row r="29" customFormat="false" ht="12.8" hidden="false" customHeight="false" outlineLevel="0" collapsed="false">
      <c r="B29" s="0" t="n">
        <v>0</v>
      </c>
      <c r="C29" s="0" t="n">
        <f aca="false">C21/1000</f>
        <v>1.81970085860998E-007</v>
      </c>
      <c r="D29" s="0" t="n">
        <f aca="false">D21/1000</f>
        <v>3.01995172040202E-006</v>
      </c>
      <c r="E29" s="0" t="n">
        <f aca="false">E21/1000</f>
        <v>0.000223872113856834</v>
      </c>
    </row>
    <row r="30" customFormat="false" ht="12.8" hidden="false" customHeight="false" outlineLevel="0" collapsed="false">
      <c r="B30" s="0" t="n">
        <v>0</v>
      </c>
      <c r="C30" s="0" t="n">
        <v>0</v>
      </c>
      <c r="D30" s="0" t="n">
        <f aca="false">D22/1000</f>
        <v>1.09647819614319E-008</v>
      </c>
      <c r="E30" s="0" t="n">
        <f aca="false">E22/1000</f>
        <v>6.16595001861482E-006</v>
      </c>
    </row>
    <row r="31" customFormat="false" ht="12.8" hidden="false" customHeight="false" outlineLevel="0" collapsed="false">
      <c r="B31" s="0" t="n">
        <v>0</v>
      </c>
      <c r="C31" s="0" t="n">
        <v>0</v>
      </c>
      <c r="D31" s="0" t="n">
        <v>0</v>
      </c>
      <c r="E31" s="0" t="n">
        <f aca="false">E23/1000</f>
        <v>7.07945784384138E-007</v>
      </c>
    </row>
    <row r="32" customFormat="false" ht="12.8" hidden="false" customHeight="false" outlineLevel="0" collapsed="false">
      <c r="B32" s="0" t="n">
        <v>0</v>
      </c>
      <c r="C32" s="0" t="n">
        <v>0</v>
      </c>
      <c r="D32" s="0" t="n">
        <v>0</v>
      </c>
      <c r="E32" s="0" t="n">
        <f aca="false">E24/1000</f>
        <v>8.31763771102671E-007</v>
      </c>
    </row>
    <row r="34" customFormat="false" ht="12.8" hidden="false" customHeight="false" outlineLevel="0" collapsed="false">
      <c r="B34" s="0" t="n">
        <f aca="false">SQRT(SUM(B28:B32)/B27)</f>
        <v>0.00881048873008014</v>
      </c>
      <c r="C34" s="0" t="n">
        <f aca="false">SQRT(SUM(C28:C32)/C27)</f>
        <v>0.0145950548142091</v>
      </c>
      <c r="D34" s="0" t="n">
        <f aca="false">SQRT(SUM(D28:D32)/D27)</f>
        <v>0.0263875687319188</v>
      </c>
      <c r="E34" s="0" t="n">
        <f aca="false">SQRT(SUM(E28:E32)/E27)</f>
        <v>0.107490354081187</v>
      </c>
    </row>
    <row r="36" customFormat="false" ht="12.8" hidden="false" customHeight="false" outlineLevel="0" collapsed="false">
      <c r="A36" s="0" t="s">
        <v>0</v>
      </c>
      <c r="B36" s="0" t="n">
        <f aca="false">B34*100</f>
        <v>0.881048873008014</v>
      </c>
      <c r="C36" s="0" t="n">
        <f aca="false">C34*100</f>
        <v>1.45950548142091</v>
      </c>
      <c r="D36" s="0" t="n">
        <f aca="false">D34*100</f>
        <v>2.63875687319188</v>
      </c>
      <c r="E36" s="0" t="n">
        <f aca="false">E34*100</f>
        <v>10.7490354081187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Roman,Regularna"&amp;12&amp;Kffffff&amp;A</oddHeader>
    <oddFooter>&amp;C&amp;"Times New Roman,Regularna"&amp;12&amp;KffffffStrona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6"/>
  <sheetViews>
    <sheetView showFormulas="false" showGridLines="true" showRowColHeaders="true" showZeros="true" rightToLeft="false" tabSelected="true" showOutlineSymbols="true" defaultGridColor="true" view="normal" topLeftCell="Z1" colorId="64" zoomScale="100" zoomScaleNormal="100" zoomScalePageLayoutView="100" workbookViewId="0">
      <selection pane="topLeft" activeCell="AF4" activeCellId="0" sqref="AF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9</v>
      </c>
      <c r="B1" s="1" t="s">
        <v>10</v>
      </c>
      <c r="C1" s="1" t="s">
        <v>11</v>
      </c>
      <c r="E1" s="1" t="s">
        <v>12</v>
      </c>
      <c r="F1" s="1" t="s">
        <v>13</v>
      </c>
      <c r="G1" s="1" t="s">
        <v>14</v>
      </c>
      <c r="I1" s="1" t="s">
        <v>0</v>
      </c>
      <c r="U1" s="1" t="s">
        <v>15</v>
      </c>
      <c r="X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0" t="s">
        <v>21</v>
      </c>
      <c r="AF1" s="0" t="s">
        <v>22</v>
      </c>
      <c r="AI1" s="1" t="s">
        <v>23</v>
      </c>
    </row>
    <row r="2" customFormat="false" ht="15.75" hidden="false" customHeight="false" outlineLevel="0" collapsed="false">
      <c r="A2" s="1" t="n">
        <v>-30</v>
      </c>
      <c r="B2" s="1" t="n">
        <v>-15.2</v>
      </c>
      <c r="C2" s="3" t="n">
        <f aca="false">ABS(A2-B2)</f>
        <v>14.8</v>
      </c>
      <c r="E2" s="1" t="n">
        <v>-30</v>
      </c>
      <c r="F2" s="1" t="n">
        <v>-15.5</v>
      </c>
      <c r="G2" s="3" t="n">
        <f aca="false">ABS(E2-F2)</f>
        <v>14.5</v>
      </c>
      <c r="I2" s="1" t="s">
        <v>5</v>
      </c>
      <c r="L2" s="1" t="s">
        <v>6</v>
      </c>
      <c r="O2" s="1" t="s">
        <v>2</v>
      </c>
      <c r="R2" s="1" t="s">
        <v>3</v>
      </c>
      <c r="U2" s="1" t="s">
        <v>24</v>
      </c>
      <c r="V2" s="1" t="s">
        <v>25</v>
      </c>
      <c r="W2" s="1" t="s">
        <v>26</v>
      </c>
      <c r="X2" s="1" t="s">
        <v>27</v>
      </c>
      <c r="AA2" s="1" t="n">
        <v>-5</v>
      </c>
      <c r="AB2" s="1" t="n">
        <v>5.9</v>
      </c>
      <c r="AC2" s="1" t="n">
        <v>-25.3</v>
      </c>
      <c r="AD2" s="1" t="n">
        <f aca="false">AB2-AC2</f>
        <v>31.2</v>
      </c>
      <c r="AE2" s="0" t="n">
        <f aca="false">AB2+AD2/2</f>
        <v>21.5</v>
      </c>
      <c r="AF2" s="0" t="n">
        <f aca="false">AE2-8.6</f>
        <v>12.9</v>
      </c>
      <c r="AI2" s="1" t="s">
        <v>28</v>
      </c>
    </row>
    <row r="3" customFormat="false" ht="15.75" hidden="false" customHeight="false" outlineLevel="0" collapsed="false">
      <c r="A3" s="1" t="n">
        <v>-26</v>
      </c>
      <c r="B3" s="1" t="n">
        <v>-11.1</v>
      </c>
      <c r="C3" s="3" t="n">
        <f aca="false">ABS(A3-B3)</f>
        <v>14.9</v>
      </c>
      <c r="E3" s="1" t="n">
        <v>-26</v>
      </c>
      <c r="F3" s="1" t="n">
        <v>-11.6</v>
      </c>
      <c r="G3" s="3" t="n">
        <f aca="false">ABS(E3-F3)</f>
        <v>14.4</v>
      </c>
      <c r="I3" s="1" t="s">
        <v>29</v>
      </c>
      <c r="J3" s="1" t="s">
        <v>8</v>
      </c>
      <c r="L3" s="1" t="s">
        <v>7</v>
      </c>
      <c r="M3" s="1" t="s">
        <v>8</v>
      </c>
      <c r="O3" s="1" t="s">
        <v>7</v>
      </c>
      <c r="P3" s="1" t="s">
        <v>8</v>
      </c>
      <c r="R3" s="1" t="s">
        <v>7</v>
      </c>
      <c r="S3" s="1" t="s">
        <v>8</v>
      </c>
      <c r="U3" s="1" t="s">
        <v>30</v>
      </c>
      <c r="V3" s="1" t="s">
        <v>31</v>
      </c>
      <c r="W3" s="1" t="s">
        <v>26</v>
      </c>
      <c r="X3" s="1" t="s">
        <v>32</v>
      </c>
      <c r="AA3" s="1" t="n">
        <v>0</v>
      </c>
      <c r="AB3" s="1" t="n">
        <v>8.6</v>
      </c>
      <c r="AC3" s="1" t="n">
        <v>-6.4</v>
      </c>
      <c r="AD3" s="1" t="n">
        <f aca="false">AB3-AC3</f>
        <v>15</v>
      </c>
      <c r="AE3" s="0" t="n">
        <f aca="false">AB3+AD3/2</f>
        <v>16.1</v>
      </c>
      <c r="AF3" s="0" t="n">
        <f aca="false">AE3-8.6</f>
        <v>7.5</v>
      </c>
    </row>
    <row r="4" customFormat="false" ht="15.75" hidden="false" customHeight="false" outlineLevel="0" collapsed="false">
      <c r="A4" s="1" t="n">
        <v>-22</v>
      </c>
      <c r="B4" s="1" t="n">
        <v>-7.1</v>
      </c>
      <c r="C4" s="3" t="n">
        <f aca="false">ABS(A4-B4)</f>
        <v>14.9</v>
      </c>
      <c r="E4" s="1" t="n">
        <v>-22</v>
      </c>
      <c r="F4" s="1" t="n">
        <v>-7.7</v>
      </c>
      <c r="G4" s="3" t="n">
        <f aca="false">ABS(E4-F4)</f>
        <v>14.3</v>
      </c>
      <c r="I4" s="1" t="n">
        <v>1</v>
      </c>
      <c r="J4" s="1" t="n">
        <v>-0.3</v>
      </c>
      <c r="L4" s="1" t="n">
        <v>1</v>
      </c>
      <c r="M4" s="1" t="n">
        <v>4.7</v>
      </c>
      <c r="O4" s="1" t="n">
        <v>1</v>
      </c>
      <c r="P4" s="1" t="n">
        <v>9.7</v>
      </c>
      <c r="R4" s="1" t="n">
        <v>1</v>
      </c>
      <c r="S4" s="1" t="n">
        <v>13.6</v>
      </c>
      <c r="AA4" s="1" t="n">
        <v>5</v>
      </c>
      <c r="AB4" s="1" t="n">
        <v>9.4</v>
      </c>
      <c r="AC4" s="1" t="n">
        <v>0.5</v>
      </c>
      <c r="AD4" s="1" t="n">
        <f aca="false">AB4-AC4</f>
        <v>8.9</v>
      </c>
      <c r="AE4" s="0" t="n">
        <f aca="false">AB4+AD4/2</f>
        <v>13.85</v>
      </c>
      <c r="AF4" s="0" t="n">
        <f aca="false">AE4-14.2</f>
        <v>-0.349999999999998</v>
      </c>
    </row>
    <row r="5" customFormat="false" ht="15.75" hidden="false" customHeight="false" outlineLevel="0" collapsed="false">
      <c r="A5" s="1" t="n">
        <v>-18</v>
      </c>
      <c r="B5" s="1" t="n">
        <v>-3.1</v>
      </c>
      <c r="C5" s="3" t="n">
        <f aca="false">ABS(A5-B5)</f>
        <v>14.9</v>
      </c>
      <c r="E5" s="1" t="n">
        <v>-18</v>
      </c>
      <c r="F5" s="1" t="n">
        <v>-3.7</v>
      </c>
      <c r="G5" s="3" t="n">
        <f aca="false">ABS(E5-F5)</f>
        <v>14.3</v>
      </c>
      <c r="I5" s="1" t="n">
        <v>1.99</v>
      </c>
      <c r="J5" s="1" t="n">
        <v>-41.4</v>
      </c>
      <c r="L5" s="1" t="n">
        <v>1.99</v>
      </c>
      <c r="M5" s="1" t="n">
        <v>-33.5</v>
      </c>
      <c r="O5" s="1" t="n">
        <v>1.99</v>
      </c>
      <c r="P5" s="1" t="n">
        <v>-24.6</v>
      </c>
      <c r="R5" s="1" t="n">
        <v>1.99</v>
      </c>
      <c r="S5" s="1" t="n">
        <v>-14.8</v>
      </c>
    </row>
    <row r="6" customFormat="false" ht="15.75" hidden="false" customHeight="false" outlineLevel="0" collapsed="false">
      <c r="A6" s="1" t="n">
        <v>-14</v>
      </c>
      <c r="B6" s="1" t="n">
        <v>0.8</v>
      </c>
      <c r="C6" s="3" t="n">
        <f aca="false">ABS(A6-B6)</f>
        <v>14.8</v>
      </c>
      <c r="E6" s="1" t="n">
        <v>-14</v>
      </c>
      <c r="F6" s="1" t="n">
        <v>0.3</v>
      </c>
      <c r="G6" s="3" t="n">
        <f aca="false">ABS(E6-F6)</f>
        <v>14.3</v>
      </c>
      <c r="L6" s="1" t="n">
        <v>2.99</v>
      </c>
      <c r="M6" s="1" t="n">
        <v>-37.4</v>
      </c>
      <c r="O6" s="1" t="n">
        <v>2.99</v>
      </c>
      <c r="P6" s="1" t="n">
        <v>-25.2</v>
      </c>
      <c r="R6" s="1" t="n">
        <v>2.99</v>
      </c>
      <c r="S6" s="1" t="n">
        <v>-6.5</v>
      </c>
    </row>
    <row r="7" customFormat="false" ht="15.75" hidden="false" customHeight="false" outlineLevel="0" collapsed="false">
      <c r="A7" s="1" t="n">
        <v>-10</v>
      </c>
      <c r="B7" s="1" t="n">
        <v>4.7</v>
      </c>
      <c r="C7" s="3" t="n">
        <f aca="false">ABS(A7-B7)</f>
        <v>14.7</v>
      </c>
      <c r="E7" s="1" t="n">
        <v>-10</v>
      </c>
      <c r="F7" s="1" t="n">
        <v>4.3</v>
      </c>
      <c r="G7" s="3" t="n">
        <f aca="false">ABS(E7-F7)</f>
        <v>14.3</v>
      </c>
      <c r="O7" s="1" t="n">
        <v>3.97</v>
      </c>
      <c r="P7" s="1" t="n">
        <v>-49.6</v>
      </c>
      <c r="R7" s="1" t="n">
        <v>3.97</v>
      </c>
      <c r="S7" s="1" t="n">
        <v>-22.1</v>
      </c>
    </row>
    <row r="8" customFormat="false" ht="15.75" hidden="false" customHeight="false" outlineLevel="0" collapsed="false">
      <c r="A8" s="1" t="n">
        <v>-6</v>
      </c>
      <c r="B8" s="1" t="n">
        <v>8.6</v>
      </c>
      <c r="C8" s="3" t="n">
        <f aca="false">ABS(A8-B8)</f>
        <v>14.6</v>
      </c>
      <c r="E8" s="1" t="n">
        <v>-6</v>
      </c>
      <c r="F8" s="1" t="n">
        <v>8.2</v>
      </c>
      <c r="G8" s="3" t="n">
        <f aca="false">ABS(E8-F8)</f>
        <v>14.2</v>
      </c>
      <c r="R8" s="1" t="n">
        <v>4.98</v>
      </c>
      <c r="S8" s="1" t="n">
        <v>-31.5</v>
      </c>
    </row>
    <row r="9" customFormat="false" ht="15.75" hidden="false" customHeight="false" outlineLevel="0" collapsed="false">
      <c r="A9" s="1" t="n">
        <v>-4</v>
      </c>
      <c r="B9" s="1" t="n">
        <v>10.5</v>
      </c>
      <c r="C9" s="3" t="n">
        <f aca="false">ABS(A9-B9)</f>
        <v>14.5</v>
      </c>
      <c r="E9" s="1" t="n">
        <v>-4</v>
      </c>
      <c r="F9" s="1" t="n">
        <v>10.2</v>
      </c>
      <c r="G9" s="3" t="n">
        <f aca="false">ABS(E9-F9)</f>
        <v>14.2</v>
      </c>
      <c r="R9" s="1" t="n">
        <v>5.97</v>
      </c>
      <c r="S9" s="1" t="n">
        <v>-30.8</v>
      </c>
    </row>
    <row r="10" customFormat="false" ht="15.75" hidden="false" customHeight="false" outlineLevel="0" collapsed="false">
      <c r="A10" s="1" t="n">
        <v>-2</v>
      </c>
      <c r="B10" s="1" t="n">
        <v>12.2</v>
      </c>
      <c r="C10" s="3" t="n">
        <f aca="false">ABS(A10-B10)</f>
        <v>14.2</v>
      </c>
      <c r="E10" s="1" t="n">
        <v>-2</v>
      </c>
      <c r="F10" s="1" t="n">
        <v>11.8</v>
      </c>
      <c r="G10" s="3" t="n">
        <f aca="false">ABS(E10-F10)</f>
        <v>13.8</v>
      </c>
    </row>
    <row r="11" customFormat="false" ht="15.75" hidden="false" customHeight="false" outlineLevel="0" collapsed="false">
      <c r="A11" s="1" t="n">
        <v>-1</v>
      </c>
      <c r="B11" s="1" t="n">
        <v>12.9</v>
      </c>
      <c r="C11" s="3" t="n">
        <f aca="false">ABS(A11-B11)</f>
        <v>13.9</v>
      </c>
      <c r="E11" s="1" t="n">
        <v>-1</v>
      </c>
      <c r="F11" s="1" t="n">
        <v>12.5</v>
      </c>
      <c r="G11" s="3" t="n">
        <f aca="false">ABS(E11-F11)</f>
        <v>13.5</v>
      </c>
      <c r="K11" s="1" t="s">
        <v>33</v>
      </c>
      <c r="R11" s="1" t="s">
        <v>33</v>
      </c>
    </row>
    <row r="12" customFormat="false" ht="15.75" hidden="false" customHeight="false" outlineLevel="0" collapsed="false">
      <c r="A12" s="1" t="n">
        <v>0</v>
      </c>
      <c r="B12" s="1" t="n">
        <v>13.5</v>
      </c>
      <c r="C12" s="3" t="n">
        <f aca="false">ABS(A12-B12)</f>
        <v>13.5</v>
      </c>
      <c r="E12" s="1" t="n">
        <v>0</v>
      </c>
      <c r="F12" s="1" t="n">
        <v>12.9</v>
      </c>
      <c r="G12" s="3" t="n">
        <f aca="false">ABS(E12-F12)</f>
        <v>12.9</v>
      </c>
    </row>
    <row r="13" customFormat="false" ht="15.75" hidden="false" customHeight="false" outlineLevel="0" collapsed="false">
      <c r="A13" s="1" t="n">
        <v>1</v>
      </c>
      <c r="B13" s="1" t="n">
        <v>13.9</v>
      </c>
      <c r="C13" s="3" t="n">
        <f aca="false">ABS(A13-B13)</f>
        <v>12.9</v>
      </c>
      <c r="E13" s="1" t="n">
        <v>1</v>
      </c>
      <c r="F13" s="1" t="n">
        <v>13.2</v>
      </c>
      <c r="G13" s="3" t="n">
        <f aca="false">ABS(E13-F13)</f>
        <v>12.2</v>
      </c>
      <c r="O13" s="4" t="n">
        <v>0.0264</v>
      </c>
      <c r="R13" s="1" t="s">
        <v>0</v>
      </c>
    </row>
    <row r="14" customFormat="false" ht="15.75" hidden="false" customHeight="false" outlineLevel="0" collapsed="false">
      <c r="A14" s="1" t="n">
        <v>2</v>
      </c>
      <c r="B14" s="1" t="n">
        <v>14.2</v>
      </c>
      <c r="C14" s="3" t="n">
        <f aca="false">ABS(A14-B14)</f>
        <v>12.2</v>
      </c>
      <c r="E14" s="1" t="n">
        <v>2</v>
      </c>
      <c r="F14" s="1" t="n">
        <v>13.3</v>
      </c>
      <c r="G14" s="3" t="n">
        <f aca="false">ABS(E14-F14)</f>
        <v>11.3</v>
      </c>
    </row>
    <row r="15" customFormat="false" ht="15.75" hidden="false" customHeight="false" outlineLevel="0" collapsed="false">
      <c r="A15" s="1" t="n">
        <v>3</v>
      </c>
      <c r="B15" s="1" t="n">
        <v>14.4</v>
      </c>
      <c r="C15" s="3" t="n">
        <f aca="false">ABS(A15-B15)</f>
        <v>11.4</v>
      </c>
      <c r="E15" s="1" t="n">
        <v>3</v>
      </c>
      <c r="F15" s="1" t="n">
        <v>13.4</v>
      </c>
      <c r="G15" s="3" t="n">
        <f aca="false">ABS(E15-F15)</f>
        <v>10.4</v>
      </c>
    </row>
    <row r="16" customFormat="false" ht="15.75" hidden="false" customHeight="false" outlineLevel="0" collapsed="false">
      <c r="A16" s="1" t="n">
        <v>4</v>
      </c>
      <c r="B16" s="1" t="n">
        <v>14.6</v>
      </c>
      <c r="C16" s="3" t="n">
        <f aca="false">ABS(A16-B16)</f>
        <v>10.6</v>
      </c>
      <c r="E16" s="1" t="n">
        <v>4</v>
      </c>
      <c r="F16" s="1" t="n">
        <v>13.5</v>
      </c>
      <c r="G16" s="3" t="n">
        <f aca="false">ABS(E16-F16)</f>
        <v>9.5</v>
      </c>
    </row>
    <row r="17" customFormat="false" ht="15.75" hidden="false" customHeight="false" outlineLevel="0" collapsed="false">
      <c r="A17" s="1" t="n">
        <v>5</v>
      </c>
      <c r="B17" s="1" t="n">
        <v>14.6</v>
      </c>
      <c r="C17" s="3" t="n">
        <f aca="false">ABS(A17-B17)</f>
        <v>9.6</v>
      </c>
      <c r="E17" s="1" t="n">
        <v>5</v>
      </c>
      <c r="F17" s="1" t="n">
        <v>13.5</v>
      </c>
      <c r="G17" s="3" t="n">
        <f aca="false">ABS(E17-F17)</f>
        <v>8.5</v>
      </c>
    </row>
    <row r="18" customFormat="false" ht="15.75" hidden="false" customHeight="false" outlineLevel="0" collapsed="false"/>
    <row r="21" customFormat="false" ht="15.75" hidden="false" customHeight="false" outlineLevel="0" collapsed="false"/>
    <row r="22" customFormat="false" ht="15.75" hidden="false" customHeight="false" outlineLevel="0" collapsed="false"/>
    <row r="23" customFormat="false" ht="15.75" hidden="false" customHeight="false" outlineLevel="0" collapsed="false"/>
    <row r="24" customFormat="false" ht="15.75" hidden="false" customHeight="false" outlineLevel="0" collapsed="false"/>
    <row r="25" customFormat="false" ht="15.75" hidden="false" customHeight="false" outlineLevel="0" collapsed="false"/>
    <row r="26" customFormat="false" ht="15.75" hidden="false" customHeight="false" outlineLevel="0" collapsed="false"/>
    <row r="27" customFormat="false" ht="15.75" hidden="false" customHeight="false" outlineLevel="0" collapsed="false"/>
    <row r="28" customFormat="false" ht="15.75" hidden="false" customHeight="false" outlineLevel="0" collapsed="false"/>
    <row r="29" customFormat="false" ht="15.75" hidden="false" customHeight="false" outlineLevel="0" collapsed="false"/>
    <row r="31" customFormat="false" ht="15.75" hidden="false" customHeight="false" outlineLevel="0" collapsed="false"/>
    <row r="33" customFormat="false" ht="15.75" hidden="false" customHeight="false" outlineLevel="0" collapsed="false"/>
    <row r="35" customFormat="false" ht="15.75" hidden="false" customHeight="false" outlineLevel="0" collapsed="false"/>
    <row r="36" customFormat="false" ht="15.75" hidden="false" customHeight="false" outlineLevel="0" collapsed="false"/>
    <row r="37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false" outlineLevel="0" collapsed="false"/>
    <row r="41" customFormat="false" ht="15.75" hidden="false" customHeight="false" outlineLevel="0" collapsed="false"/>
    <row r="42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2025-11-12T21:36:42Z</dcterms:modified>
  <cp:revision>3</cp:revision>
  <dc:subject/>
  <dc:title/>
</cp:coreProperties>
</file>